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c56298a95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82a747f17cb4d7d"/>
    <x:sheet xmlns:r="http://schemas.openxmlformats.org/officeDocument/2006/relationships" name="Calculations" sheetId="2" r:id="Rb940983b981f44fb"/>
    <x:sheet xmlns:r="http://schemas.openxmlformats.org/officeDocument/2006/relationships" name="Sources" sheetId="3" r:id="Rb1d7ee7bbc05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$#,##0.00"/>
  </x:numFmts>
  <x:fonts count="6">
    <x:font>
      <x:sz val="11"/>
      <x:name val="Carlito"/>
    </x:font>
    <x:font>
      <x:sz val="10"/>
      <x:color rgb="FF14243A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4243A"/>
      <x:name val="Arial"/>
    </x:font>
    <x:font>
      <x:b/>
      <x:sz val="16"/>
      <x:color rgb="FF174BA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72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cebc7fe9147cf" /><Relationship Type="http://schemas.openxmlformats.org/officeDocument/2006/relationships/theme" Target="/xl/theme/theme1.xml" Id="R9e5c395b6ca74c9d" /><Relationship Type="http://schemas.openxmlformats.org/officeDocument/2006/relationships/sharedStrings" Target="/xl/sharedStrings.xml" Id="R0a6764ec775449eb" /><Relationship Type="http://schemas.openxmlformats.org/officeDocument/2006/relationships/worksheet" Target="/xl/worksheets/sheet1.xml" Id="R682a747f17cb4d7d" /><Relationship Type="http://schemas.openxmlformats.org/officeDocument/2006/relationships/worksheet" Target="/xl/worksheets/sheet2.xml" Id="Rb940983b981f44fb" /><Relationship Type="http://schemas.openxmlformats.org/officeDocument/2006/relationships/worksheet" Target="/xl/worksheets/sheet3.xml" Id="Rb1d7ee7bbc0546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7167e658904d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MRR per active account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USD / account</c:v>
          </c:tx>
          <c:invertIfNegative val="0"/>
          <c:cat>
            <c:strRef>
              <c:f>'Calculations'!$A$5:$A$7</c:f>
              <c:strCache>
                <c:ptCount val="0"/>
              </c:strCache>
            </c:strRef>
          </c:cat>
          <c:val>
            <c:numRef>
              <c:f>'Calculations'!$D$5:$D$7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Zero baseline</c:v>
          </c:tx>
          <c:invertIfNegative val="0"/>
          <c:cat>
            <c:strRef>
              <c:f>'Calculations'!$A$5:$A$7</c:f>
              <c:strCache>
                <c:ptCount val="0"/>
              </c:strCache>
            </c:strRef>
          </c:cat>
          <c:val>
            <c:numRef>
              <c:f>'Calculations'!$J$5:$J$7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7167e658904da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Metrics" displayName="SourceMetrics" ref="A4:D58" headerRowCount="1" totalsRowCount="0" totalsRowShown="0">
  <x:tableColumns count="4">
    <x:tableColumn id="1" name="Period"/>
    <x:tableColumn id="2" name="Category"/>
    <x:tableColumn id="3" name="Numerator"/>
    <x:tableColumn id="4" name="Denominat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5e24e9408c4e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1f6a1b3b74149b1" /></Relationships>
</file>

<file path=xl/worksheets/sheet1.xml><?xml version="1.0" encoding="utf-8"?>
<x:worksheet xmlns:x="http://schemas.openxmlformats.org/spreadsheetml/2006/main">
  <x:sheetPr>
    <x:tabColor rgb="FF183C72"/>
  </x:sheetPr>
  <x:sheetViews>
    <x:sheetView showGridLines="0" workbookViewId="0"/>
  </x:sheetViews>
  <x:sheetFormatPr defaultRowHeight="15"/>
  <x:cols>
    <x:col min="1" max="1" width="28" hidden="0" customWidth="1"/>
    <x:col min="2" max="2" width="2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7" t="str">
        <x:v>SaaS Revenue &amp; Retention Observatory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 t="str">
        <x:v>Category</x:v>
      </x:c>
      <x:c r="B4" s="9" t="str">
        <x:v>SMB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Period</x:v>
      </x:c>
      <x:c r="B5" s="9" t="str">
        <x:v>2026-06-01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Description (XLOOKUP)</x:v>
      </x:c>
      <x:c r="B7" s="1" t="str">
        <x:f>_xlfn.XLOOKUP(B4,Calculations!F5:F7,Calculations!G5:G7,"Unknown category")</x:f>
        <x:v>Small business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INDEX-MATCH check</x:v>
      </x:c>
      <x:c r="B8" s="1" t="str">
        <x:f>IFERROR(INDEX(Calculations!G5:G7,MATCH(B4,Calculations!F5:F7,0)),"Unknown category")</x:f>
        <x:v>Small business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MRR per active account (USD)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0" t="n">
        <x:f>IFERROR(INDEX(Calculations!D5:D7,MATCH(B4,Calculations!A5:A7,0)),"Select valid category")</x:f>
        <x:v>53.34454003407155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v>Synthetic case study; no real business impact claimed.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 t="str">
        <x:v>Amber cells are editable. Source data is a fixed snapshot.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 t="str">
        <x:v>Power Query and native PivotTable setup: excel/README.md.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</x:sheetData>
  <x:dataValidations count="2">
    <x:dataValidation type="list" sqref="B4">
      <x:formula1>"SMB,Mid-market,Enterprise"</x:formula1>
    </x:dataValidation>
    <x:dataValidation type="list" sqref="B5">
      <x:formula1>"2025-01-01,2025-02-01,2025-03-01,2025-04-01,2025-05-01,2025-06-01,2025-07-01,2025-08-01,2025-09-01,2025-10-01,2025-11-01,2025-12-01,2026-01-01,2026-02-01,2026-03-01,2026-04-01,2026-05-01,2026-06-01"</x:formula1>
    </x:dataValidation>
  </x:dataValidations>
  <x:pageMargins left="0.7" right="0.7" top="0.75" bottom="0.75" header="0.3" footer="0.3"/>
  <x:drawing xmlns:r="http://schemas.openxmlformats.org/officeDocument/2006/relationships" r:id="R065e24e9408c4e0e"/>
</x:worksheet>
</file>

<file path=xl/worksheets/sheet2.xml><?xml version="1.0" encoding="utf-8"?>
<x:worksheet xmlns:x="http://schemas.openxmlformats.org/spreadsheetml/2006/main">
  <x:sheetPr>
    <x:tabColor rgb="FF6B8DB9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7" t="str">
        <x:v>Weighted KPI calculations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4" t="str">
        <x:v>Category</x:v>
      </x:c>
      <x:c r="B4" s="4" t="str">
        <x:v>Numerator</x:v>
      </x:c>
      <x:c r="C4" s="4" t="str">
        <x:v>Denominator</x:v>
      </x:c>
      <x:c r="D4" s="4" t="str">
        <x:v>USD / account</x:v>
      </x:c>
      <x:c r="E4" s="1"/>
      <x:c r="F4" s="4" t="str">
        <x:v>Key</x:v>
      </x:c>
      <x:c r="G4" s="4" t="str">
        <x:v>Description</x:v>
      </x:c>
      <x:c r="H4" s="1"/>
      <x:c r="I4" s="1"/>
      <x:c r="J4" s="1" t="str">
        <x:v>Zero baseline</x:v>
      </x:c>
      <x:c r="K4" s="1"/>
      <x:c r="L4" s="1"/>
    </x:row>
    <x:row r="5" ht="23" customHeight="1">
      <x:c r="A5" s="1" t="str">
        <x:v>SMB</x:v>
      </x:c>
      <x:c r="B5" s="5" t="n">
        <x:f>SUMIFS(Sources!$C$5:$C$58,Sources!$B$5:$B$58,A5,Sources!$A$5:$A$58,Overview!$B$5)</x:f>
        <x:v>62626.49</x:v>
      </x:c>
      <x:c r="C5" s="5" t="n">
        <x:f>SUMIFS(Sources!$D$5:$D$58,Sources!$B$5:$B$58,A5,Sources!$A$5:$A$58,Overview!$B$5)</x:f>
        <x:v>1174</x:v>
      </x:c>
      <x:c r="D5" s="8" t="n">
        <x:f>IF(C5=0,"N/A",B5/C5)</x:f>
        <x:v>53.34454003407155</x:v>
      </x:c>
      <x:c r="E5" s="1"/>
      <x:c r="F5" s="1" t="str">
        <x:v>SMB</x:v>
      </x:c>
      <x:c r="G5" s="1" t="str">
        <x:v>Small business</x:v>
      </x:c>
      <x:c r="H5" s="1"/>
      <x:c r="I5" s="1"/>
      <x:c r="J5" s="1" t="n">
        <x:v>0</x:v>
      </x:c>
      <x:c r="K5" s="1"/>
      <x:c r="L5" s="1"/>
    </x:row>
    <x:row r="6" ht="23" customHeight="1">
      <x:c r="A6" s="1" t="str">
        <x:v>Mid-market</x:v>
      </x:c>
      <x:c r="B6" s="5" t="n">
        <x:f>SUMIFS(Sources!$C$5:$C$58,Sources!$B$5:$B$58,A6,Sources!$A$5:$A$58,Overview!$B$5)</x:f>
        <x:v>152401.76</x:v>
      </x:c>
      <x:c r="C6" s="5" t="n">
        <x:f>SUMIFS(Sources!$D$5:$D$58,Sources!$B$5:$B$58,A6,Sources!$A$5:$A$58,Overview!$B$5)</x:f>
        <x:v>563</x:v>
      </x:c>
      <x:c r="D6" s="8" t="n">
        <x:f>IF(C6=0,"N/A",B6/C6)</x:f>
        <x:v>270.6958436944938</x:v>
      </x:c>
      <x:c r="E6" s="1"/>
      <x:c r="F6" s="1" t="str">
        <x:v>Mid-market</x:v>
      </x:c>
      <x:c r="G6" s="1" t="str">
        <x:v>Mid-market</x:v>
      </x:c>
      <x:c r="H6" s="1"/>
      <x:c r="I6" s="1"/>
      <x:c r="J6" s="1" t="n">
        <x:v>0</x:v>
      </x:c>
      <x:c r="K6" s="1"/>
      <x:c r="L6" s="1"/>
    </x:row>
    <x:row r="7" ht="23" customHeight="1">
      <x:c r="A7" s="1" t="str">
        <x:v>Enterprise</x:v>
      </x:c>
      <x:c r="B7" s="5" t="n">
        <x:f>SUMIFS(Sources!$C$5:$C$58,Sources!$B$5:$B$58,A7,Sources!$A$5:$A$58,Overview!$B$5)</x:f>
        <x:v>313102.05</x:v>
      </x:c>
      <x:c r="C7" s="5" t="n">
        <x:f>SUMIFS(Sources!$D$5:$D$58,Sources!$B$5:$B$58,A7,Sources!$A$5:$A$58,Overview!$B$5)</x:f>
        <x:v>191</x:v>
      </x:c>
      <x:c r="D7" s="8" t="n">
        <x:f>IF(C7=0,"N/A",B7/C7)</x:f>
        <x:v>1639.2777486910993</x:v>
      </x:c>
      <x:c r="E7" s="1"/>
      <x:c r="F7" s="1" t="str">
        <x:v>Enterprise</x:v>
      </x:c>
      <x:c r="G7" s="1" t="str">
        <x:v>Enterprise</x:v>
      </x:c>
      <x:c r="H7" s="1"/>
      <x:c r="I7" s="1"/>
      <x:c r="J7" s="1" t="n">
        <x:v>0</x:v>
      </x:c>
      <x:c r="K7" s="1"/>
      <x:c r="L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Rates use ratio of sums; source rows are daily/monthly aggregates.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" t="str">
        <x:v>Source: synthetic pipeline aggregates; seed 20261011. See source_metrics.csv.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4" t="str">
        <x:v>Period</x:v>
      </x:c>
      <x:c r="B4" s="4" t="str">
        <x:v>Category</x:v>
      </x:c>
      <x:c r="C4" s="4" t="str">
        <x:v>Numerator</x:v>
      </x:c>
      <x:c r="D4" s="4" t="str">
        <x:v>Denominator</x:v>
      </x:c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2025-01-01</x:v>
      </x:c>
      <x:c r="B5" s="1" t="str">
        <x:v>Enterprise</x:v>
      </x:c>
      <x:c r="C5" s="5" t="n">
        <x:v>16489</x:v>
      </x:c>
      <x:c r="D5" s="5" t="n">
        <x:v>11</x:v>
      </x:c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2025-01-01</x:v>
      </x:c>
      <x:c r="B6" s="1" t="str">
        <x:v>Mid-market</x:v>
      </x:c>
      <x:c r="C6" s="5" t="n">
        <x:v>12201</x:v>
      </x:c>
      <x:c r="D6" s="5" t="n">
        <x:v>49</x:v>
      </x:c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2025-01-01</x:v>
      </x:c>
      <x:c r="B7" s="1" t="str">
        <x:v>SMB</x:v>
      </x:c>
      <x:c r="C7" s="5" t="n">
        <x:v>4655</x:v>
      </x:c>
      <x:c r="D7" s="5" t="n">
        <x:v>95</x:v>
      </x:c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2025-02-01</x:v>
      </x:c>
      <x:c r="B8" s="1" t="str">
        <x:v>Enterprise</x:v>
      </x:c>
      <x:c r="C8" s="5" t="n">
        <x:v>48267.8</x:v>
      </x:c>
      <x:c r="D8" s="5" t="n">
        <x:v>32</x:v>
      </x:c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2025-02-01</x:v>
      </x:c>
      <x:c r="B9" s="1" t="str">
        <x:v>Mid-market</x:v>
      </x:c>
      <x:c r="C9" s="5" t="n">
        <x:v>25808.85</x:v>
      </x:c>
      <x:c r="D9" s="5" t="n">
        <x:v>103</x:v>
      </x:c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2025-02-01</x:v>
      </x:c>
      <x:c r="B10" s="1" t="str">
        <x:v>SMB</x:v>
      </x:c>
      <x:c r="C10" s="5" t="n">
        <x:v>9461.9</x:v>
      </x:c>
      <x:c r="D10" s="5" t="n">
        <x:v>192</x:v>
      </x:c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2025-03-01</x:v>
      </x:c>
      <x:c r="B11" s="1" t="str">
        <x:v>Enterprise</x:v>
      </x:c>
      <x:c r="C11" s="5" t="n">
        <x:v>78772.45</x:v>
      </x:c>
      <x:c r="D11" s="5" t="n">
        <x:v>52</x:v>
      </x:c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2025-03-01</x:v>
      </x:c>
      <x:c r="B12" s="1" t="str">
        <x:v>Mid-market</x:v>
      </x:c>
      <x:c r="C12" s="5" t="n">
        <x:v>40915.68</x:v>
      </x:c>
      <x:c r="D12" s="5" t="n">
        <x:v>163</x:v>
      </x:c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 t="str">
        <x:v>2025-03-01</x:v>
      </x:c>
      <x:c r="B13" s="1" t="str">
        <x:v>SMB</x:v>
      </x:c>
      <x:c r="C13" s="5" t="n">
        <x:v>13752.34</x:v>
      </x:c>
      <x:c r="D13" s="5" t="n">
        <x:v>278</x:v>
      </x:c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 t="str">
        <x:v>2025-04-01</x:v>
      </x:c>
      <x:c r="B14" s="1" t="str">
        <x:v>Enterprise</x:v>
      </x:c>
      <x:c r="C14" s="5" t="n">
        <x:v>99968.31</x:v>
      </x:c>
      <x:c r="D14" s="5" t="n">
        <x:v>66</x:v>
      </x:c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 t="str">
        <x:v>2025-04-01</x:v>
      </x:c>
      <x:c r="B15" s="1" t="str">
        <x:v>Mid-market</x:v>
      </x:c>
      <x:c r="C15" s="5" t="n">
        <x:v>52875.15</x:v>
      </x:c>
      <x:c r="D15" s="5" t="n">
        <x:v>210</x:v>
      </x:c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v>2025-04-01</x:v>
      </x:c>
      <x:c r="B16" s="1" t="str">
        <x:v>SMB</x:v>
      </x:c>
      <x:c r="C16" s="5" t="n">
        <x:v>18047.31</x:v>
      </x:c>
      <x:c r="D16" s="5" t="n">
        <x:v>363</x:v>
      </x:c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 t="str">
        <x:v>2025-05-01</x:v>
      </x:c>
      <x:c r="B17" s="1" t="str">
        <x:v>Enterprise</x:v>
      </x:c>
      <x:c r="C17" s="5" t="n">
        <x:v>129232.54</x:v>
      </x:c>
      <x:c r="D17" s="5" t="n">
        <x:v>85</x:v>
      </x:c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 t="str">
        <x:v>2025-05-01</x:v>
      </x:c>
      <x:c r="B18" s="1" t="str">
        <x:v>Mid-market</x:v>
      </x:c>
      <x:c r="C18" s="5" t="n">
        <x:v>67643.96</x:v>
      </x:c>
      <x:c r="D18" s="5" t="n">
        <x:v>266</x:v>
      </x:c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 t="str">
        <x:v>2025-05-01</x:v>
      </x:c>
      <x:c r="B19" s="1" t="str">
        <x:v>SMB</x:v>
      </x:c>
      <x:c r="C19" s="5" t="n">
        <x:v>23064.91</x:v>
      </x:c>
      <x:c r="D19" s="5" t="n">
        <x:v>463</x:v>
      </x:c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 t="str">
        <x:v>2025-06-01</x:v>
      </x:c>
      <x:c r="B20" s="1" t="str">
        <x:v>Enterprise</x:v>
      </x:c>
      <x:c r="C20" s="5" t="n">
        <x:v>143029.34</x:v>
      </x:c>
      <x:c r="D20" s="5" t="n">
        <x:v>94</x:v>
      </x:c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 t="str">
        <x:v>2025-06-01</x:v>
      </x:c>
      <x:c r="B21" s="1" t="str">
        <x:v>Mid-market</x:v>
      </x:c>
      <x:c r="C21" s="5" t="n">
        <x:v>75710.43000000001</x:v>
      </x:c>
      <x:c r="D21" s="5" t="n">
        <x:v>297</x:v>
      </x:c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 t="str">
        <x:v>2025-06-01</x:v>
      </x:c>
      <x:c r="B22" s="1" t="str">
        <x:v>SMB</x:v>
      </x:c>
      <x:c r="C22" s="5" t="n">
        <x:v>27069.88</x:v>
      </x:c>
      <x:c r="D22" s="5" t="n">
        <x:v>539</x:v>
      </x:c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 t="str">
        <x:v>2025-07-01</x:v>
      </x:c>
      <x:c r="B23" s="1" t="str">
        <x:v>Enterprise</x:v>
      </x:c>
      <x:c r="C23" s="5" t="n">
        <x:v>168867.61</x:v>
      </x:c>
      <x:c r="D23" s="5" t="n">
        <x:v>110</x:v>
      </x:c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 t="str">
        <x:v>2025-07-01</x:v>
      </x:c>
      <x:c r="B24" s="1" t="str">
        <x:v>Mid-market</x:v>
      </x:c>
      <x:c r="C24" s="5" t="n">
        <x:v>85087.89</x:v>
      </x:c>
      <x:c r="D24" s="5" t="n">
        <x:v>332</x:v>
      </x:c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 t="str">
        <x:v>2025-07-01</x:v>
      </x:c>
      <x:c r="B25" s="1" t="str">
        <x:v>SMB</x:v>
      </x:c>
      <x:c r="C25" s="5" t="n">
        <x:v>31273.41</x:v>
      </x:c>
      <x:c r="D25" s="5" t="n">
        <x:v>619</x:v>
      </x:c>
      <x:c r="E25" s="1"/>
      <x:c r="F25" s="1"/>
      <x:c r="G25" s="1"/>
      <x:c r="H25" s="1"/>
      <x:c r="I25" s="1"/>
      <x:c r="J25" s="1"/>
      <x:c r="K25" s="1"/>
      <x:c r="L25" s="1"/>
    </x:row>
    <x:row r="26">
      <x:c r="A26" s="2" t="str">
        <x:v>2025-08-01</x:v>
      </x:c>
      <x:c r="B26" s="2" t="str">
        <x:v>Enterprise</x:v>
      </x:c>
      <x:c r="C26" s="6" t="n">
        <x:v>198083.12</x:v>
      </x:c>
      <x:c r="D26" s="6" t="n">
        <x:v>128</x:v>
      </x:c>
    </x:row>
    <x:row r="27">
      <x:c r="A27" s="2" t="str">
        <x:v>2025-08-01</x:v>
      </x:c>
      <x:c r="B27" s="2" t="str">
        <x:v>Mid-market</x:v>
      </x:c>
      <x:c r="C27" s="6" t="n">
        <x:v>94166.45</x:v>
      </x:c>
      <x:c r="D27" s="6" t="n">
        <x:v>366</x:v>
      </x:c>
    </x:row>
    <x:row r="28">
      <x:c r="A28" s="2" t="str">
        <x:v>2025-08-01</x:v>
      </x:c>
      <x:c r="B28" s="2" t="str">
        <x:v>SMB</x:v>
      </x:c>
      <x:c r="C28" s="6" t="n">
        <x:v>35236.9</x:v>
      </x:c>
      <x:c r="D28" s="6" t="n">
        <x:v>695</x:v>
      </x:c>
    </x:row>
    <x:row r="29">
      <x:c r="A29" s="2" t="str">
        <x:v>2025-09-01</x:v>
      </x:c>
      <x:c r="B29" s="2" t="str">
        <x:v>Enterprise</x:v>
      </x:c>
      <x:c r="C29" s="6" t="n">
        <x:v>224021.81</x:v>
      </x:c>
      <x:c r="D29" s="6" t="n">
        <x:v>143</x:v>
      </x:c>
    </x:row>
    <x:row r="30">
      <x:c r="A30" s="2" t="str">
        <x:v>2025-09-01</x:v>
      </x:c>
      <x:c r="B30" s="2" t="str">
        <x:v>Mid-market</x:v>
      </x:c>
      <x:c r="C30" s="6" t="n">
        <x:v>99842.53</x:v>
      </x:c>
      <x:c r="D30" s="6" t="n">
        <x:v>387</x:v>
      </x:c>
    </x:row>
    <x:row r="31">
      <x:c r="A31" s="2" t="str">
        <x:v>2025-09-01</x:v>
      </x:c>
      <x:c r="B31" s="2" t="str">
        <x:v>SMB</x:v>
      </x:c>
      <x:c r="C31" s="6" t="n">
        <x:v>39008.18</x:v>
      </x:c>
      <x:c r="D31" s="6" t="n">
        <x:v>766</x:v>
      </x:c>
    </x:row>
    <x:row r="32">
      <x:c r="A32" s="2" t="str">
        <x:v>2025-10-01</x:v>
      </x:c>
      <x:c r="B32" s="2" t="str">
        <x:v>Enterprise</x:v>
      </x:c>
      <x:c r="C32" s="6" t="n">
        <x:v>245137.48</x:v>
      </x:c>
      <x:c r="D32" s="6" t="n">
        <x:v>156</x:v>
      </x:c>
    </x:row>
    <x:row r="33">
      <x:c r="A33" s="2" t="str">
        <x:v>2025-10-01</x:v>
      </x:c>
      <x:c r="B33" s="2" t="str">
        <x:v>Mid-market</x:v>
      </x:c>
      <x:c r="C33" s="6" t="n">
        <x:v>108745.65</x:v>
      </x:c>
      <x:c r="D33" s="6" t="n">
        <x:v>422</x:v>
      </x:c>
    </x:row>
    <x:row r="34">
      <x:c r="A34" s="2" t="str">
        <x:v>2025-10-01</x:v>
      </x:c>
      <x:c r="B34" s="2" t="str">
        <x:v>SMB</x:v>
      </x:c>
      <x:c r="C34" s="6" t="n">
        <x:v>42197.409999999996</x:v>
      </x:c>
      <x:c r="D34" s="6" t="n">
        <x:v>828</x:v>
      </x:c>
    </x:row>
    <x:row r="35">
      <x:c r="A35" s="2" t="str">
        <x:v>2025-11-01</x:v>
      </x:c>
      <x:c r="B35" s="2" t="str">
        <x:v>Enterprise</x:v>
      </x:c>
      <x:c r="C35" s="6" t="n">
        <x:v>261637.91</x:v>
      </x:c>
      <x:c r="D35" s="6" t="n">
        <x:v>166</x:v>
      </x:c>
    </x:row>
    <x:row r="36">
      <x:c r="A36" s="2" t="str">
        <x:v>2025-11-01</x:v>
      </x:c>
      <x:c r="B36" s="2" t="str">
        <x:v>Mid-market</x:v>
      </x:c>
      <x:c r="C36" s="6" t="n">
        <x:v>120900.92</x:v>
      </x:c>
      <x:c r="D36" s="6" t="n">
        <x:v>466</x:v>
      </x:c>
    </x:row>
    <x:row r="37">
      <x:c r="A37" s="2" t="str">
        <x:v>2025-11-01</x:v>
      </x:c>
      <x:c r="B37" s="2" t="str">
        <x:v>SMB</x:v>
      </x:c>
      <x:c r="C37" s="6" t="n">
        <x:v>45675.52</x:v>
      </x:c>
      <x:c r="D37" s="6" t="n">
        <x:v>891</x:v>
      </x:c>
    </x:row>
    <x:row r="38">
      <x:c r="A38" s="2" t="str">
        <x:v>2025-12-01</x:v>
      </x:c>
      <x:c r="B38" s="2" t="str">
        <x:v>Enterprise</x:v>
      </x:c>
      <x:c r="C38" s="6" t="n">
        <x:v>269573.62</x:v>
      </x:c>
      <x:c r="D38" s="6" t="n">
        <x:v>170</x:v>
      </x:c>
    </x:row>
    <x:row r="39">
      <x:c r="A39" s="2" t="str">
        <x:v>2025-12-01</x:v>
      </x:c>
      <x:c r="B39" s="2" t="str">
        <x:v>Mid-market</x:v>
      </x:c>
      <x:c r="C39" s="6" t="n">
        <x:v>130323.96</x:v>
      </x:c>
      <x:c r="D39" s="6" t="n">
        <x:v>500</x:v>
      </x:c>
    </x:row>
    <x:row r="40">
      <x:c r="A40" s="2" t="str">
        <x:v>2025-12-01</x:v>
      </x:c>
      <x:c r="B40" s="2" t="str">
        <x:v>SMB</x:v>
      </x:c>
      <x:c r="C40" s="6" t="n">
        <x:v>49794.549999999996</x:v>
      </x:c>
      <x:c r="D40" s="6" t="n">
        <x:v>967</x:v>
      </x:c>
    </x:row>
    <x:row r="41">
      <x:c r="A41" s="2" t="str">
        <x:v>2026-01-01</x:v>
      </x:c>
      <x:c r="B41" s="2" t="str">
        <x:v>Enterprise</x:v>
      </x:c>
      <x:c r="C41" s="6" t="n">
        <x:v>281849.7</x:v>
      </x:c>
      <x:c r="D41" s="6" t="n">
        <x:v>179</x:v>
      </x:c>
    </x:row>
    <x:row r="42">
      <x:c r="A42" s="2" t="str">
        <x:v>2026-01-01</x:v>
      </x:c>
      <x:c r="B42" s="2" t="str">
        <x:v>Mid-market</x:v>
      </x:c>
      <x:c r="C42" s="6" t="n">
        <x:v>138382.2</x:v>
      </x:c>
      <x:c r="D42" s="6" t="n">
        <x:v>527</x:v>
      </x:c>
    </x:row>
    <x:row r="43">
      <x:c r="A43" s="2" t="str">
        <x:v>2026-01-01</x:v>
      </x:c>
      <x:c r="B43" s="2" t="str">
        <x:v>SMB</x:v>
      </x:c>
      <x:c r="C43" s="6" t="n">
        <x:v>54661.88</x:v>
      </x:c>
      <x:c r="D43" s="6" t="n">
        <x:v>1057</x:v>
      </x:c>
    </x:row>
    <x:row r="44">
      <x:c r="A44" s="2" t="str">
        <x:v>2026-02-01</x:v>
      </x:c>
      <x:c r="B44" s="2" t="str">
        <x:v>Enterprise</x:v>
      </x:c>
      <x:c r="C44" s="6" t="n">
        <x:v>301778.91</x:v>
      </x:c>
      <x:c r="D44" s="6" t="n">
        <x:v>190</x:v>
      </x:c>
    </x:row>
    <x:row r="45">
      <x:c r="A45" s="2" t="str">
        <x:v>2026-02-01</x:v>
      </x:c>
      <x:c r="B45" s="2" t="str">
        <x:v>Mid-market</x:v>
      </x:c>
      <x:c r="C45" s="6" t="n">
        <x:v>147436.51</x:v>
      </x:c>
      <x:c r="D45" s="6" t="n">
        <x:v>559</x:v>
      </x:c>
    </x:row>
    <x:row r="46">
      <x:c r="A46" s="2" t="str">
        <x:v>2026-02-01</x:v>
      </x:c>
      <x:c r="B46" s="2" t="str">
        <x:v>SMB</x:v>
      </x:c>
      <x:c r="C46" s="6" t="n">
        <x:v>58935.32</x:v>
      </x:c>
      <x:c r="D46" s="6" t="n">
        <x:v>1136</x:v>
      </x:c>
    </x:row>
    <x:row r="47">
      <x:c r="A47" s="2" t="str">
        <x:v>2026-03-01</x:v>
      </x:c>
      <x:c r="B47" s="2" t="str">
        <x:v>Enterprise</x:v>
      </x:c>
      <x:c r="C47" s="6" t="n">
        <x:v>317876.79</x:v>
      </x:c>
      <x:c r="D47" s="6" t="n">
        <x:v>199</x:v>
      </x:c>
    </x:row>
    <x:row r="48">
      <x:c r="A48" s="2" t="str">
        <x:v>2026-03-01</x:v>
      </x:c>
      <x:c r="B48" s="2" t="str">
        <x:v>Mid-market</x:v>
      </x:c>
      <x:c r="C48" s="6" t="n">
        <x:v>158758.04</x:v>
      </x:c>
      <x:c r="D48" s="6" t="n">
        <x:v>600</x:v>
      </x:c>
    </x:row>
    <x:row r="49">
      <x:c r="A49" s="2" t="str">
        <x:v>2026-03-01</x:v>
      </x:c>
      <x:c r="B49" s="2" t="str">
        <x:v>SMB</x:v>
      </x:c>
      <x:c r="C49" s="6" t="n">
        <x:v>62723.95</x:v>
      </x:c>
      <x:c r="D49" s="6" t="n">
        <x:v>1207</x:v>
      </x:c>
    </x:row>
    <x:row r="50">
      <x:c r="A50" s="2" t="str">
        <x:v>2026-04-01</x:v>
      </x:c>
      <x:c r="B50" s="2" t="str">
        <x:v>Enterprise</x:v>
      </x:c>
      <x:c r="C50" s="6" t="n">
        <x:v>310769.61</x:v>
      </x:c>
      <x:c r="D50" s="6" t="n">
        <x:v>193</x:v>
      </x:c>
    </x:row>
    <x:row r="51">
      <x:c r="A51" s="2" t="str">
        <x:v>2026-04-01</x:v>
      </x:c>
      <x:c r="B51" s="2" t="str">
        <x:v>Mid-market</x:v>
      </x:c>
      <x:c r="C51" s="6" t="n">
        <x:v>156769.45</x:v>
      </x:c>
      <x:c r="D51" s="6" t="n">
        <x:v>591</x:v>
      </x:c>
    </x:row>
    <x:row r="52">
      <x:c r="A52" s="2" t="str">
        <x:v>2026-04-01</x:v>
      </x:c>
      <x:c r="B52" s="2" t="str">
        <x:v>SMB</x:v>
      </x:c>
      <x:c r="C52" s="6" t="n">
        <x:v>62242.92</x:v>
      </x:c>
      <x:c r="D52" s="6" t="n">
        <x:v>1184</x:v>
      </x:c>
    </x:row>
    <x:row r="53">
      <x:c r="A53" s="2" t="str">
        <x:v>2026-05-01</x:v>
      </x:c>
      <x:c r="B53" s="2" t="str">
        <x:v>Enterprise</x:v>
      </x:c>
      <x:c r="C53" s="6" t="n">
        <x:v>315861.97</x:v>
      </x:c>
      <x:c r="D53" s="6" t="n">
        <x:v>193</x:v>
      </x:c>
    </x:row>
    <x:row r="54">
      <x:c r="A54" s="2" t="str">
        <x:v>2026-05-01</x:v>
      </x:c>
      <x:c r="B54" s="2" t="str">
        <x:v>Mid-market</x:v>
      </x:c>
      <x:c r="C54" s="6" t="n">
        <x:v>153548.81</x:v>
      </x:c>
      <x:c r="D54" s="6" t="n">
        <x:v>574</x:v>
      </x:c>
    </x:row>
    <x:row r="55">
      <x:c r="A55" s="2" t="str">
        <x:v>2026-05-01</x:v>
      </x:c>
      <x:c r="B55" s="2" t="str">
        <x:v>SMB</x:v>
      </x:c>
      <x:c r="C55" s="6" t="n">
        <x:v>62272.18</x:v>
      </x:c>
      <x:c r="D55" s="6" t="n">
        <x:v>1176</x:v>
      </x:c>
    </x:row>
    <x:row r="56">
      <x:c r="A56" s="2" t="str">
        <x:v>2026-06-01</x:v>
      </x:c>
      <x:c r="B56" s="2" t="str">
        <x:v>Enterprise</x:v>
      </x:c>
      <x:c r="C56" s="6" t="n">
        <x:v>313102.05</x:v>
      </x:c>
      <x:c r="D56" s="6" t="n">
        <x:v>191</x:v>
      </x:c>
    </x:row>
    <x:row r="57">
      <x:c r="A57" s="2" t="str">
        <x:v>2026-06-01</x:v>
      </x:c>
      <x:c r="B57" s="2" t="str">
        <x:v>Mid-market</x:v>
      </x:c>
      <x:c r="C57" s="6" t="n">
        <x:v>152401.76</x:v>
      </x:c>
      <x:c r="D57" s="6" t="n">
        <x:v>563</x:v>
      </x:c>
    </x:row>
    <x:row r="58">
      <x:c r="A58" s="2" t="str">
        <x:v>2026-06-01</x:v>
      </x:c>
      <x:c r="B58" s="2" t="str">
        <x:v>SMB</x:v>
      </x:c>
      <x:c r="C58" s="6" t="n">
        <x:v>62626.49</x:v>
      </x:c>
      <x:c r="D58" s="6" t="n">
        <x:v>1174</x:v>
      </x:c>
    </x:row>
  </x:sheetData>
  <x:pageMargins left="0.7" right="0.7" top="0.75" bottom="0.75" header="0.3" footer="0.3"/>
  <x:tableParts count="1">
    <x:tablePart xmlns:r="http://schemas.openxmlformats.org/officeDocument/2006/relationships" r:id="R21f6a1b3b74149b1"/>
  </x:tableParts>
</x:worksheet>
</file>